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802963D0-E6CA-4EFA-A2BE-5661EC5A24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Planilha1!$E$11:$E$11</definedName>
    <definedName name="patrimonio">Planilha1!$E$14:$E$14</definedName>
    <definedName name="qtd_anos">Planilha1!$E$12:$E$12</definedName>
    <definedName name="rendimento_carteira">Planilha1!$E$7:$E$7</definedName>
    <definedName name="salario">Planilha1!$E$6:$E$6</definedName>
    <definedName name="sugestao_investimento">Planilha1!$E$8:$E$8</definedName>
    <definedName name="taxa_mensal">Planilha1!$E$13:$E$13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5" i="2"/>
  <c r="C29" i="1"/>
  <c r="H4" i="2"/>
  <c r="C26" i="1" a="1"/>
  <c r="C26" i="1"/>
  <c r="C22" i="1"/>
  <c r="E22" i="1" s="1" a="1"/>
  <c r="E22" i="1" s="1"/>
  <c r="C21" i="1"/>
  <c r="E21" i="1" s="1" a="1"/>
  <c r="E21" i="1" s="1"/>
  <c r="C20" i="1"/>
  <c r="E20" i="1" s="1" a="1"/>
  <c r="E20" i="1" s="1"/>
  <c r="C19" i="1"/>
  <c r="E19" i="1" s="1" a="1"/>
  <c r="E19" i="1" s="1"/>
  <c r="C18" i="1"/>
  <c r="E18" i="1" s="1" a="1"/>
  <c r="E18" i="1" s="1"/>
  <c r="E8" i="1" a="1"/>
  <c r="E8" i="1"/>
  <c r="E14" i="1" a="1"/>
  <c r="E14" i="1"/>
  <c r="E15" i="1" s="1" a="1"/>
  <c r="E15" i="1" s="1"/>
  <c r="E30" i="1" l="1"/>
  <c r="E31" i="1"/>
  <c r="E32" i="1"/>
  <c r="E33" i="1"/>
  <c r="E34" i="1"/>
  <c r="E29" i="1"/>
  <c r="E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<sst xmlns="http://schemas.openxmlformats.org/spreadsheetml/2006/main" count="72" uniqueCount="36">
  <si>
    <t>PLANO DE INVESTIMENTO</t>
  </si>
  <si>
    <t>G.F. INVEST</t>
  </si>
  <si>
    <t>CONFIGURAÇÕES</t>
  </si>
  <si>
    <t>Salário</t>
  </si>
  <si>
    <t>Rendimento da Carteira</t>
  </si>
  <si>
    <t>Sugestão de Investimento (30%)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</si>
  <si>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</si>
  <si>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</si>
  <si>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</si>
  <si>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</si>
  <si>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</si>
  <si>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</si>
  <si>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</si>
  <si>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</si>
  <si>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</si>
  <si>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</si>
  <si>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</si>
  <si>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</si>
  <si>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</si>
  <si>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</si>
  <si>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</si>
  <si>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</si>
  <si>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TIPOS DE FI</t>
  </si>
  <si>
    <t>%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</si>
  <si>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</si>
  <si>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</si>
  <si>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</si>
  <si>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</si>
  <si>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</si>
  <si>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</si>
  <si>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</si>
  <si>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 COMPOSTA</t>
  </si>
  <si>
    <t>%</t>
  </si>
  <si>
    <t>ModeradoTIJOLO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</si>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</sst>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11">
    <font>
      <sz val="11"/>
      <color theme="1"/>
      <name val="Aptos Narrow"/>
      <family val="2"/>
      <scheme val="minor"/>
    </font>
    <font>
      <b/>
      <sz val="36"/>
      <color theme="0"/>
      <name val="Aptos Narrow"/>
      <scheme val="minor"/>
    </font>
    <font>
      <sz val="3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6"/>
      <color theme="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39F07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/>
      <top style="medium">
        <color rgb="FF000000"/>
      </top>
      <bottom/>
      <diagonal/>
    </border>
    <border>
      <left style="medium">
        <color theme="1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thin">
        <color theme="0" tint="-0.249977111117893"/>
      </top>
      <bottom style="medium">
        <color theme="1"/>
      </bottom>
      <diagonal/>
    </border>
    <border>
      <left/>
      <right/>
      <top style="thin">
        <color theme="0" tint="-0.249977111117893"/>
      </top>
      <bottom style="medium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Border="1"/>
    <xf numFmtId="0" fontId="4" fillId="0" borderId="0" xfId="0" applyFont="1"/>
    <xf numFmtId="9" fontId="0" fillId="0" borderId="0" xfId="0" applyNumberFormat="1"/>
    <xf numFmtId="0" fontId="0" fillId="6" borderId="0" xfId="0" applyFill="1" applyAlignment="1"/>
    <xf numFmtId="0" fontId="0" fillId="0" borderId="9" xfId="0" applyBorder="1"/>
    <xf numFmtId="0" fontId="0" fillId="0" borderId="8" xfId="0" applyBorder="1"/>
    <xf numFmtId="0" fontId="5" fillId="5" borderId="13" xfId="0" applyFont="1" applyFill="1" applyBorder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0" fillId="0" borderId="0" xfId="0" applyFill="1"/>
    <xf numFmtId="0" fontId="0" fillId="0" borderId="0" xfId="0" applyAlignment="1"/>
    <xf numFmtId="0" fontId="3" fillId="5" borderId="12" xfId="0" applyFont="1" applyFill="1" applyBorder="1" applyAlignment="1"/>
    <xf numFmtId="8" fontId="0" fillId="4" borderId="14" xfId="0" applyNumberFormat="1" applyFill="1" applyBorder="1" applyAlignment="1">
      <alignment horizontal="left"/>
    </xf>
    <xf numFmtId="8" fontId="0" fillId="4" borderId="0" xfId="0" applyNumberForma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8" fontId="0" fillId="4" borderId="15" xfId="0" applyNumberForma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8" fontId="0" fillId="4" borderId="17" xfId="0" applyNumberFormat="1" applyFill="1" applyBorder="1" applyAlignment="1">
      <alignment horizontal="left"/>
    </xf>
    <xf numFmtId="0" fontId="7" fillId="4" borderId="11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3" fillId="5" borderId="16" xfId="0" applyFont="1" applyFill="1" applyBorder="1" applyAlignment="1"/>
    <xf numFmtId="0" fontId="3" fillId="3" borderId="12" xfId="0" applyFont="1" applyFill="1" applyBorder="1" applyAlignment="1"/>
    <xf numFmtId="0" fontId="3" fillId="3" borderId="16" xfId="0" applyFont="1" applyFill="1" applyBorder="1" applyAlignment="1"/>
    <xf numFmtId="0" fontId="0" fillId="0" borderId="0" xfId="0" applyFill="1" applyBorder="1"/>
    <xf numFmtId="0" fontId="9" fillId="0" borderId="0" xfId="0" applyFont="1" applyFill="1" applyBorder="1" applyAlignment="1">
      <alignment horizontal="center"/>
    </xf>
    <xf numFmtId="8" fontId="0" fillId="0" borderId="0" xfId="0" applyNumberFormat="1" applyFill="1" applyBorder="1" applyAlignment="1">
      <alignment horizontal="left"/>
    </xf>
    <xf numFmtId="0" fontId="6" fillId="0" borderId="0" xfId="0" applyFont="1" applyFill="1" applyAlignment="1"/>
    <xf numFmtId="0" fontId="6" fillId="2" borderId="0" xfId="0" applyFont="1" applyFill="1" applyAlignment="1">
      <alignment vertical="center"/>
    </xf>
    <xf numFmtId="0" fontId="9" fillId="3" borderId="13" xfId="0" applyFont="1" applyFill="1" applyBorder="1" applyAlignment="1">
      <alignment horizontal="left"/>
    </xf>
    <xf numFmtId="165" fontId="7" fillId="0" borderId="18" xfId="0" applyNumberFormat="1" applyFont="1" applyBorder="1" applyAlignment="1">
      <alignment horizontal="left"/>
    </xf>
    <xf numFmtId="10" fontId="7" fillId="0" borderId="19" xfId="0" applyNumberFormat="1" applyFont="1" applyBorder="1" applyAlignment="1">
      <alignment horizontal="left"/>
    </xf>
    <xf numFmtId="165" fontId="7" fillId="0" borderId="20" xfId="0" applyNumberFormat="1" applyFont="1" applyBorder="1" applyAlignment="1">
      <alignment horizontal="left"/>
    </xf>
    <xf numFmtId="165" fontId="0" fillId="0" borderId="18" xfId="0" applyNumberFormat="1" applyBorder="1" applyAlignment="1">
      <alignment horizontal="left"/>
    </xf>
    <xf numFmtId="0" fontId="0" fillId="0" borderId="19" xfId="0" applyBorder="1" applyAlignment="1">
      <alignment horizontal="left"/>
    </xf>
    <xf numFmtId="10" fontId="0" fillId="0" borderId="19" xfId="0" applyNumberFormat="1" applyBorder="1" applyAlignment="1">
      <alignment horizontal="left"/>
    </xf>
    <xf numFmtId="8" fontId="0" fillId="4" borderId="19" xfId="0" applyNumberFormat="1" applyFill="1" applyBorder="1" applyAlignment="1">
      <alignment horizontal="left"/>
    </xf>
    <xf numFmtId="8" fontId="0" fillId="4" borderId="20" xfId="0" applyNumberFormat="1" applyFill="1" applyBorder="1" applyAlignment="1">
      <alignment horizontal="left"/>
    </xf>
    <xf numFmtId="0" fontId="7" fillId="4" borderId="3" xfId="0" applyFont="1" applyFill="1" applyBorder="1" applyAlignment="1">
      <alignment horizontal="center"/>
    </xf>
    <xf numFmtId="165" fontId="0" fillId="0" borderId="4" xfId="0" applyNumberFormat="1" applyBorder="1" applyAlignment="1">
      <alignment horizontal="left"/>
    </xf>
    <xf numFmtId="0" fontId="0" fillId="0" borderId="5" xfId="0" applyBorder="1" applyAlignment="1"/>
    <xf numFmtId="0" fontId="5" fillId="7" borderId="6" xfId="0" applyFont="1" applyFill="1" applyBorder="1" applyAlignment="1">
      <alignment horizontal="center"/>
    </xf>
    <xf numFmtId="0" fontId="5" fillId="7" borderId="21" xfId="0" applyFont="1" applyFill="1" applyBorder="1"/>
    <xf numFmtId="0" fontId="5" fillId="7" borderId="7" xfId="0" applyFont="1" applyFill="1" applyBorder="1" applyAlignment="1"/>
    <xf numFmtId="0" fontId="0" fillId="7" borderId="3" xfId="0" applyFill="1" applyBorder="1"/>
    <xf numFmtId="0" fontId="0" fillId="7" borderId="4" xfId="0" applyFill="1" applyBorder="1"/>
    <xf numFmtId="165" fontId="5" fillId="7" borderId="5" xfId="0" applyNumberFormat="1" applyFon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9" fontId="0" fillId="8" borderId="0" xfId="0" applyNumberFormat="1" applyFill="1" applyBorder="1" applyAlignment="1">
      <alignment horizontal="left"/>
    </xf>
    <xf numFmtId="165" fontId="0" fillId="8" borderId="2" xfId="0" applyNumberFormat="1" applyFill="1" applyBorder="1" applyAlignment="1">
      <alignment horizontal="left"/>
    </xf>
    <xf numFmtId="9" fontId="0" fillId="0" borderId="0" xfId="0" applyNumberFormat="1" applyFill="1" applyBorder="1" applyAlignment="1">
      <alignment horizontal="left"/>
    </xf>
    <xf numFmtId="0" fontId="10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9" fontId="0" fillId="0" borderId="4" xfId="0" applyNumberForma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5" fillId="10" borderId="6" xfId="0" applyFont="1" applyFill="1" applyBorder="1" applyAlignment="1">
      <alignment horizontal="center" vertical="top"/>
    </xf>
    <xf numFmtId="0" fontId="5" fillId="10" borderId="21" xfId="0" applyFont="1" applyFill="1" applyBorder="1" applyAlignment="1">
      <alignment horizontal="center" vertical="top"/>
    </xf>
    <xf numFmtId="0" fontId="5" fillId="10" borderId="21" xfId="0" applyFont="1" applyFill="1" applyBorder="1" applyAlignment="1">
      <alignment horizontal="center" vertical="top"/>
    </xf>
    <xf numFmtId="0" fontId="5" fillId="10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39F07"/>
      <color rgb="FFE6D345"/>
      <color rgb="FFB39E02"/>
      <color rgb="FFF5E9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Planilha1!$C$28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Planilha1!$C$29:$C$34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BC-4813-8459-C71056112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38</xdr:row>
      <xdr:rowOff>152400</xdr:rowOff>
    </xdr:from>
    <xdr:to>
      <xdr:col>2</xdr:col>
      <xdr:colOff>390525</xdr:colOff>
      <xdr:row>53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C01F70-0A22-CF25-C7C4-782A475BD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showGridLines="0" tabSelected="1" topLeftCell="B18" workbookViewId="0">
      <selection activeCell="E25" sqref="B25:E25"/>
    </sheetView>
  </sheetViews>
  <sheetFormatPr defaultColWidth="0" defaultRowHeight="15"/>
  <cols>
    <col min="1" max="1" width="9.140625" hidden="1" customWidth="1"/>
    <col min="2" max="2" width="68.5703125" customWidth="1"/>
    <col min="3" max="3" width="19.140625" customWidth="1"/>
    <col min="4" max="4" width="9.7109375" customWidth="1"/>
    <col min="5" max="5" width="23.85546875" style="11" customWidth="1"/>
    <col min="6" max="6" width="13.140625" customWidth="1"/>
    <col min="7" max="8" width="9.140625" customWidth="1"/>
    <col min="9" max="9" width="29" customWidth="1"/>
    <col min="10" max="10" width="17.5703125" customWidth="1"/>
    <col min="11" max="11" width="9.140625" customWidth="1"/>
    <col min="12" max="13" width="0" hidden="1" customWidth="1"/>
    <col min="14" max="14" width="9.140625" hidden="1" customWidth="1"/>
    <col min="15" max="1002" width="0" hidden="1" customWidth="1"/>
  </cols>
  <sheetData>
    <row r="1" spans="1:15" ht="15" customHeight="1">
      <c r="A1" s="29" t="s">
        <v>0</v>
      </c>
      <c r="B1" s="73" t="s">
        <v>1</v>
      </c>
      <c r="C1" s="73"/>
      <c r="D1" s="73"/>
      <c r="E1" s="73"/>
      <c r="F1" s="28"/>
      <c r="G1" s="9"/>
      <c r="H1" s="9"/>
      <c r="I1" s="9"/>
      <c r="J1" s="9"/>
      <c r="K1" s="9"/>
      <c r="L1" s="8"/>
      <c r="M1" s="8"/>
      <c r="N1" s="8"/>
      <c r="O1" s="8"/>
    </row>
    <row r="2" spans="1:15" ht="15" customHeight="1">
      <c r="A2" s="29"/>
      <c r="B2" s="73"/>
      <c r="C2" s="73"/>
      <c r="D2" s="73"/>
      <c r="E2" s="73"/>
      <c r="F2" s="28"/>
      <c r="G2" s="9"/>
      <c r="H2" s="9"/>
      <c r="I2" s="9"/>
      <c r="J2" s="9"/>
      <c r="K2" s="9"/>
      <c r="L2" s="8"/>
      <c r="M2" s="8"/>
      <c r="N2" s="8"/>
      <c r="O2" s="8"/>
    </row>
    <row r="3" spans="1:15" ht="15" customHeight="1">
      <c r="A3" s="29"/>
      <c r="B3" s="73"/>
      <c r="C3" s="73"/>
      <c r="D3" s="73"/>
      <c r="E3" s="73"/>
      <c r="F3" s="28"/>
      <c r="G3" s="9"/>
      <c r="H3" s="9"/>
      <c r="I3" s="9"/>
      <c r="J3" s="9"/>
      <c r="K3" s="9"/>
      <c r="L3" s="8"/>
      <c r="M3" s="8"/>
      <c r="N3" s="8"/>
      <c r="O3" s="8"/>
    </row>
    <row r="4" spans="1:15">
      <c r="G4" s="10"/>
    </row>
    <row r="5" spans="1:15" ht="26.25">
      <c r="B5" s="12" t="s">
        <v>2</v>
      </c>
      <c r="C5" s="22"/>
      <c r="D5" s="22"/>
      <c r="E5" s="7"/>
    </row>
    <row r="6" spans="1:15" ht="15.75">
      <c r="B6" s="58" t="s">
        <v>3</v>
      </c>
      <c r="C6" s="59"/>
      <c r="D6" s="60"/>
      <c r="E6" s="31">
        <v>4200</v>
      </c>
    </row>
    <row r="7" spans="1:15" ht="15.75">
      <c r="B7" s="61" t="s">
        <v>4</v>
      </c>
      <c r="C7" s="62"/>
      <c r="D7" s="63"/>
      <c r="E7" s="32">
        <v>0.01</v>
      </c>
    </row>
    <row r="8" spans="1:15" ht="15.75">
      <c r="B8" s="64" t="s">
        <v>5</v>
      </c>
      <c r="C8" s="65"/>
      <c r="D8" s="66"/>
      <c r="E8" s="33" cm="1">
        <f t="array" ref="E8">(salario*30%)</f>
        <v>1260</v>
      </c>
    </row>
    <row r="10" spans="1:15" ht="24" customHeight="1">
      <c r="B10" s="15" t="s">
        <v>6</v>
      </c>
      <c r="C10" s="18"/>
      <c r="D10" s="18"/>
      <c r="E10" s="16"/>
      <c r="F10" s="1"/>
      <c r="G10" s="1"/>
      <c r="H10" s="1"/>
      <c r="K10" s="4"/>
    </row>
    <row r="11" spans="1:15" ht="15.75">
      <c r="B11" s="58" t="s">
        <v>7</v>
      </c>
      <c r="C11" s="59"/>
      <c r="D11" s="60"/>
      <c r="E11" s="34">
        <v>1260</v>
      </c>
      <c r="G11" s="1"/>
      <c r="H11" s="1"/>
    </row>
    <row r="12" spans="1:15" ht="15.75">
      <c r="B12" s="61" t="s">
        <v>8</v>
      </c>
      <c r="C12" s="62"/>
      <c r="D12" s="63"/>
      <c r="E12" s="35">
        <v>10</v>
      </c>
      <c r="F12" s="1"/>
      <c r="G12" s="1"/>
      <c r="H12" s="1"/>
    </row>
    <row r="13" spans="1:15" ht="15.75">
      <c r="B13" s="61" t="s">
        <v>9</v>
      </c>
      <c r="C13" s="62"/>
      <c r="D13" s="63"/>
      <c r="E13" s="36">
        <v>1.0789999999999999E-2</v>
      </c>
      <c r="F13" s="1"/>
      <c r="G13" s="1"/>
      <c r="H13" s="1"/>
    </row>
    <row r="14" spans="1:15" ht="15.75">
      <c r="B14" s="67" t="s">
        <v>10</v>
      </c>
      <c r="C14" s="68"/>
      <c r="D14" s="69"/>
      <c r="E14" s="37" cm="1">
        <f t="array" ref="E14">FV(taxa_mensal,qtd_anos*12,aporte)*-1</f>
        <v>306538.10778801696</v>
      </c>
      <c r="F14" s="1"/>
      <c r="G14" s="1"/>
      <c r="H14" s="1"/>
      <c r="L14" s="5"/>
    </row>
    <row r="15" spans="1:15" ht="15.75">
      <c r="B15" s="70" t="s">
        <v>11</v>
      </c>
      <c r="C15" s="71"/>
      <c r="D15" s="72"/>
      <c r="E15" s="38" cm="1">
        <f t="array" ref="E15">(patrimonio*rendimento_carteira)</f>
        <v>3065.3810778801699</v>
      </c>
      <c r="F15" s="1"/>
      <c r="L15" s="6"/>
    </row>
    <row r="16" spans="1:15">
      <c r="F16" s="25"/>
    </row>
    <row r="17" spans="1:6" ht="26.25">
      <c r="A17" s="2">
        <v>2</v>
      </c>
      <c r="B17" s="23" t="s">
        <v>12</v>
      </c>
      <c r="C17" s="24"/>
      <c r="D17" s="24"/>
      <c r="E17" s="30" t="s">
        <v>13</v>
      </c>
      <c r="F17" s="26"/>
    </row>
    <row r="18" spans="1:6" ht="15.75">
      <c r="A18" s="2">
        <v>5</v>
      </c>
      <c r="B18" s="20" t="s">
        <v>14</v>
      </c>
      <c r="C18" s="14">
        <f>FV($E$13,$A17*12,$E$11)*-1</f>
        <v>34306.810395032975</v>
      </c>
      <c r="D18" s="14"/>
      <c r="E18" s="17" cm="1">
        <f t="array" ref="E18">(C18*rendimento_carteira)</f>
        <v>343.06810395032977</v>
      </c>
      <c r="F18" s="27"/>
    </row>
    <row r="19" spans="1:6" ht="15.75">
      <c r="A19" s="2">
        <v>10</v>
      </c>
      <c r="B19" s="20" t="s">
        <v>15</v>
      </c>
      <c r="C19" s="14">
        <f>FV($E$13,$A18*12,$E$11)*-1</f>
        <v>105558.91163809443</v>
      </c>
      <c r="D19" s="14"/>
      <c r="E19" s="17" cm="1">
        <f t="array" ref="E19">(C19*rendimento_carteira)</f>
        <v>1055.5891163809442</v>
      </c>
      <c r="F19" s="27"/>
    </row>
    <row r="20" spans="1:6" ht="15.75">
      <c r="A20" s="2">
        <v>20</v>
      </c>
      <c r="B20" s="20" t="s">
        <v>16</v>
      </c>
      <c r="C20" s="14">
        <f>FV($E$13,$A19*12,$E$11)*-1</f>
        <v>306538.10778801696</v>
      </c>
      <c r="D20" s="14"/>
      <c r="E20" s="17" cm="1">
        <f t="array" ref="E20">(C20*rendimento_carteira)</f>
        <v>3065.3810778801699</v>
      </c>
      <c r="F20" s="27"/>
    </row>
    <row r="21" spans="1:6" ht="15.75">
      <c r="A21" s="2">
        <v>30</v>
      </c>
      <c r="B21" s="20" t="s">
        <v>17</v>
      </c>
      <c r="C21" s="14">
        <f>FV($E$13,$A20*12,$E$11)*-1</f>
        <v>1417749.9841223215</v>
      </c>
      <c r="D21" s="14"/>
      <c r="E21" s="17" cm="1">
        <f t="array" ref="E21">(C21*rendimento_carteira)</f>
        <v>14177.499841223214</v>
      </c>
      <c r="F21" s="27"/>
    </row>
    <row r="22" spans="1:6" ht="15.75">
      <c r="B22" s="21" t="s">
        <v>18</v>
      </c>
      <c r="C22" s="19">
        <f>FV($E$13,$A21*12,$E$11)*-1</f>
        <v>5445933.7653059401</v>
      </c>
      <c r="D22" s="19"/>
      <c r="E22" s="13" cm="1">
        <f t="array" ref="E22">(C22*rendimento_carteira)</f>
        <v>54459.337653059403</v>
      </c>
      <c r="F22" s="27"/>
    </row>
    <row r="23" spans="1:6">
      <c r="F23" s="25"/>
    </row>
    <row r="25" spans="1:6">
      <c r="B25" s="74" t="s">
        <v>19</v>
      </c>
      <c r="C25" s="75"/>
      <c r="D25" s="76"/>
      <c r="E25" s="77" t="s">
        <v>20</v>
      </c>
    </row>
    <row r="26" spans="1:6" ht="15.75">
      <c r="B26" s="39" t="s">
        <v>21</v>
      </c>
      <c r="C26" s="40" cm="1">
        <f t="array" ref="C26">aporte</f>
        <v>1260</v>
      </c>
      <c r="D26" s="40"/>
      <c r="E26" s="41"/>
    </row>
    <row r="28" spans="1:6">
      <c r="B28" s="42" t="s">
        <v>22</v>
      </c>
      <c r="C28" s="43" t="s">
        <v>23</v>
      </c>
      <c r="D28" s="43"/>
      <c r="E28" s="44" t="s">
        <v>24</v>
      </c>
    </row>
    <row r="29" spans="1:6">
      <c r="B29" s="48" t="s">
        <v>25</v>
      </c>
      <c r="C29" s="49">
        <f>VLOOKUP($E$25&amp;"-"&amp;B29,Planilha2!$A:$D,4,FALSE)</f>
        <v>0.5</v>
      </c>
      <c r="D29" s="49"/>
      <c r="E29" s="50">
        <f>($C$26*C29)</f>
        <v>630</v>
      </c>
    </row>
    <row r="30" spans="1:6">
      <c r="B30" s="48" t="s">
        <v>26</v>
      </c>
      <c r="C30" s="49">
        <f>VLOOKUP($E$25&amp;"-"&amp;B30,Planilha2!$A:$D,4,FALSE)</f>
        <v>0.1</v>
      </c>
      <c r="D30" s="49"/>
      <c r="E30" s="50">
        <f t="shared" ref="E30:E34" si="0">($C$26*C30)</f>
        <v>126</v>
      </c>
    </row>
    <row r="31" spans="1:6">
      <c r="B31" s="48" t="s">
        <v>27</v>
      </c>
      <c r="C31" s="49">
        <f>VLOOKUP($E$25&amp;"-"&amp;B31,Planilha2!$A:$D,4,FALSE)</f>
        <v>0.05</v>
      </c>
      <c r="D31" s="49"/>
      <c r="E31" s="50">
        <f t="shared" si="0"/>
        <v>63</v>
      </c>
    </row>
    <row r="32" spans="1:6">
      <c r="B32" s="48" t="s">
        <v>28</v>
      </c>
      <c r="C32" s="49">
        <f>VLOOKUP($E$25&amp;"-"&amp;B32,Planilha2!$A:$D,4,FALSE)</f>
        <v>0.1</v>
      </c>
      <c r="D32" s="49"/>
      <c r="E32" s="50">
        <f t="shared" si="0"/>
        <v>126</v>
      </c>
    </row>
    <row r="33" spans="2:5">
      <c r="B33" s="48" t="s">
        <v>29</v>
      </c>
      <c r="C33" s="49">
        <f>VLOOKUP($E$25&amp;"-"&amp;B33,Planilha2!$A:$D,4,FALSE)</f>
        <v>0.2</v>
      </c>
      <c r="D33" s="49"/>
      <c r="E33" s="50">
        <f t="shared" si="0"/>
        <v>252</v>
      </c>
    </row>
    <row r="34" spans="2:5">
      <c r="B34" s="48" t="s">
        <v>30</v>
      </c>
      <c r="C34" s="49">
        <f>VLOOKUP($E$25&amp;"-"&amp;B34,Planilha2!$A:$D,4,FALSE)</f>
        <v>0.1</v>
      </c>
      <c r="D34" s="49"/>
      <c r="E34" s="50">
        <f t="shared" si="0"/>
        <v>126</v>
      </c>
    </row>
    <row r="35" spans="2:5">
      <c r="B35" s="45"/>
      <c r="C35" s="46"/>
      <c r="D35" s="46"/>
      <c r="E35" s="47">
        <f>SUM(E29:E34)</f>
        <v>1323</v>
      </c>
    </row>
  </sheetData>
  <mergeCells count="11">
    <mergeCell ref="B25:C25"/>
    <mergeCell ref="B6:D6"/>
    <mergeCell ref="B7:D7"/>
    <mergeCell ref="B8:D8"/>
    <mergeCell ref="B11:D11"/>
    <mergeCell ref="B12:D12"/>
    <mergeCell ref="B13:D13"/>
    <mergeCell ref="B14:D14"/>
    <mergeCell ref="B15:D15"/>
    <mergeCell ref="B10:E10"/>
    <mergeCell ref="B1:E3"/>
  </mergeCells>
  <dataValidations count="1">
    <dataValidation type="list" allowBlank="1" showInputMessage="1" showErrorMessage="1" sqref="E25" xr:uid="{E0B00CB1-C4D5-47BE-95D2-0D0D1D5FCC61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497C-A350-4B08-BEA9-F19CF25759EF}">
  <dimension ref="A4:H22"/>
  <sheetViews>
    <sheetView topLeftCell="A6" workbookViewId="0">
      <selection activeCell="D15" sqref="D15"/>
    </sheetView>
  </sheetViews>
  <sheetFormatPr defaultRowHeight="15"/>
  <cols>
    <col min="1" max="1" width="23.28515625" customWidth="1"/>
    <col min="2" max="2" width="18.140625" customWidth="1"/>
    <col min="3" max="3" width="18.42578125" bestFit="1" customWidth="1"/>
    <col min="4" max="4" width="10.7109375" bestFit="1" customWidth="1"/>
    <col min="7" max="7" width="18" customWidth="1"/>
    <col min="8" max="8" width="16.42578125" customWidth="1"/>
  </cols>
  <sheetData>
    <row r="4" spans="1:8">
      <c r="A4" s="52" t="s">
        <v>31</v>
      </c>
      <c r="B4" s="52" t="s">
        <v>19</v>
      </c>
      <c r="C4" s="57" t="s">
        <v>22</v>
      </c>
      <c r="D4" s="52" t="s">
        <v>32</v>
      </c>
      <c r="G4" t="s">
        <v>33</v>
      </c>
      <c r="H4" s="3" t="e">
        <f>VLOOKUP(G4,$A:$D,4,FALSE)</f>
        <v>#N/A</v>
      </c>
    </row>
    <row r="5" spans="1:8">
      <c r="A5" s="25" t="str">
        <f>B5&amp;"-"&amp;C5</f>
        <v>Conservador-PAPEL</v>
      </c>
      <c r="B5" s="25" t="s">
        <v>34</v>
      </c>
      <c r="C5" s="53" t="s">
        <v>25</v>
      </c>
      <c r="D5" s="51">
        <v>0.3</v>
      </c>
    </row>
    <row r="6" spans="1:8">
      <c r="A6" s="25" t="str">
        <f t="shared" ref="A6:A22" si="0">B6&amp;"-"&amp;C6</f>
        <v>Conservador-TIJOLO</v>
      </c>
      <c r="B6" s="25" t="s">
        <v>34</v>
      </c>
      <c r="C6" s="53" t="s">
        <v>26</v>
      </c>
      <c r="D6" s="51">
        <v>0.5</v>
      </c>
    </row>
    <row r="7" spans="1:8">
      <c r="A7" s="25" t="str">
        <f t="shared" si="0"/>
        <v>Conservador-HÍBRIDOS</v>
      </c>
      <c r="B7" s="25" t="s">
        <v>34</v>
      </c>
      <c r="C7" s="53" t="s">
        <v>27</v>
      </c>
      <c r="D7" s="51">
        <v>0.1</v>
      </c>
    </row>
    <row r="8" spans="1:8">
      <c r="A8" s="25" t="str">
        <f t="shared" si="0"/>
        <v>Conservador-FOFs</v>
      </c>
      <c r="B8" s="25" t="s">
        <v>34</v>
      </c>
      <c r="C8" s="53" t="s">
        <v>28</v>
      </c>
      <c r="D8" s="51">
        <v>0.1</v>
      </c>
    </row>
    <row r="9" spans="1:8">
      <c r="A9" s="25" t="str">
        <f t="shared" si="0"/>
        <v>Conservador-DESENVOLVIMENTO</v>
      </c>
      <c r="B9" s="25" t="s">
        <v>34</v>
      </c>
      <c r="C9" s="53" t="s">
        <v>29</v>
      </c>
      <c r="D9" s="51">
        <v>0</v>
      </c>
    </row>
    <row r="10" spans="1:8">
      <c r="A10" s="25" t="str">
        <f t="shared" si="0"/>
        <v>Conservador-HOTELARIAS</v>
      </c>
      <c r="B10" s="54" t="s">
        <v>34</v>
      </c>
      <c r="C10" s="55" t="s">
        <v>30</v>
      </c>
      <c r="D10" s="56">
        <v>0</v>
      </c>
    </row>
    <row r="11" spans="1:8">
      <c r="A11" s="25" t="str">
        <f t="shared" si="0"/>
        <v>Moderado-PAPEL</v>
      </c>
      <c r="B11" s="25" t="s">
        <v>35</v>
      </c>
      <c r="C11" s="53" t="s">
        <v>25</v>
      </c>
      <c r="D11" s="51">
        <v>0.32</v>
      </c>
    </row>
    <row r="12" spans="1:8">
      <c r="A12" s="25" t="str">
        <f t="shared" si="0"/>
        <v>Moderado-TIJOLO</v>
      </c>
      <c r="B12" s="25" t="s">
        <v>35</v>
      </c>
      <c r="C12" s="53" t="s">
        <v>26</v>
      </c>
      <c r="D12" s="51">
        <v>0.35</v>
      </c>
    </row>
    <row r="13" spans="1:8">
      <c r="A13" s="25" t="str">
        <f t="shared" si="0"/>
        <v>Moderado-HÍBRIDOS</v>
      </c>
      <c r="B13" s="25" t="s">
        <v>35</v>
      </c>
      <c r="C13" s="53" t="s">
        <v>27</v>
      </c>
      <c r="D13" s="51">
        <v>0.08</v>
      </c>
    </row>
    <row r="14" spans="1:8">
      <c r="A14" s="25" t="str">
        <f t="shared" si="0"/>
        <v>Moderado-FOFs</v>
      </c>
      <c r="B14" s="25" t="s">
        <v>35</v>
      </c>
      <c r="C14" s="53" t="s">
        <v>28</v>
      </c>
      <c r="D14" s="51">
        <v>0.05</v>
      </c>
    </row>
    <row r="15" spans="1:8">
      <c r="A15" s="25" t="str">
        <f t="shared" si="0"/>
        <v>Moderado-DESENVOLVIMENTO</v>
      </c>
      <c r="B15" s="25" t="s">
        <v>35</v>
      </c>
      <c r="C15" s="53" t="s">
        <v>29</v>
      </c>
      <c r="D15" s="51">
        <v>0.1</v>
      </c>
    </row>
    <row r="16" spans="1:8">
      <c r="A16" s="25" t="str">
        <f t="shared" si="0"/>
        <v>Moderado-HOTELARIAS</v>
      </c>
      <c r="B16" s="54" t="s">
        <v>35</v>
      </c>
      <c r="C16" s="55" t="s">
        <v>30</v>
      </c>
      <c r="D16" s="56">
        <v>0.1</v>
      </c>
    </row>
    <row r="17" spans="1:4">
      <c r="A17" s="25" t="str">
        <f t="shared" si="0"/>
        <v>Agressivo-PAPEL</v>
      </c>
      <c r="B17" s="25" t="s">
        <v>20</v>
      </c>
      <c r="C17" s="53" t="s">
        <v>25</v>
      </c>
      <c r="D17" s="51">
        <v>0.5</v>
      </c>
    </row>
    <row r="18" spans="1:4">
      <c r="A18" s="25" t="str">
        <f t="shared" si="0"/>
        <v>Agressivo-TIJOLO</v>
      </c>
      <c r="B18" s="25" t="s">
        <v>20</v>
      </c>
      <c r="C18" s="53" t="s">
        <v>26</v>
      </c>
      <c r="D18" s="51">
        <v>0.1</v>
      </c>
    </row>
    <row r="19" spans="1:4">
      <c r="A19" s="25" t="str">
        <f t="shared" si="0"/>
        <v>Agressivo-HÍBRIDOS</v>
      </c>
      <c r="B19" s="25" t="s">
        <v>20</v>
      </c>
      <c r="C19" s="53" t="s">
        <v>27</v>
      </c>
      <c r="D19" s="51">
        <v>0.05</v>
      </c>
    </row>
    <row r="20" spans="1:4">
      <c r="A20" s="25" t="str">
        <f t="shared" si="0"/>
        <v>Agressivo-FOFs</v>
      </c>
      <c r="B20" s="25" t="s">
        <v>20</v>
      </c>
      <c r="C20" s="53" t="s">
        <v>28</v>
      </c>
      <c r="D20" s="51">
        <v>0.1</v>
      </c>
    </row>
    <row r="21" spans="1:4">
      <c r="A21" s="25" t="str">
        <f t="shared" si="0"/>
        <v>Agressivo-DESENVOLVIMENTO</v>
      </c>
      <c r="B21" s="25" t="s">
        <v>20</v>
      </c>
      <c r="C21" s="53" t="s">
        <v>29</v>
      </c>
      <c r="D21" s="51">
        <v>0.2</v>
      </c>
    </row>
    <row r="22" spans="1:4">
      <c r="A22" s="25" t="str">
        <f t="shared" si="0"/>
        <v>Agressivo-HOTELARIAS</v>
      </c>
      <c r="B22" s="25" t="s">
        <v>20</v>
      </c>
      <c r="C22" s="53" t="s">
        <v>30</v>
      </c>
      <c r="D22" s="5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2025-05-22T14:07:26Z</dcterms:created>
  <dcterms:modified xsi:type="dcterms:W3CDTF">2025-06-03T21:02:14Z</dcterms:modified>
  <cp:category/>
  <cp:contentStatus/>
</cp:coreProperties>
</file>