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cuments\Documents\Excel com IA\"/>
    </mc:Choice>
  </mc:AlternateContent>
  <xr:revisionPtr revIDLastSave="0" documentId="13_ncr:1_{184F1C19-4034-48EA-9896-DBDA9FF74328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3" l="1"/>
  <c r="D20" i="3"/>
</calcChain>
</file>

<file path=xl/sharedStrings.xml><?xml version="1.0" encoding="utf-8"?>
<sst xmlns="http://schemas.openxmlformats.org/spreadsheetml/2006/main" count="2024" uniqueCount="327">
  <si>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</si>
  <si>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</si>
  <si>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</si>
  <si>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</si>
  <si>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</si>
  <si>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</si>
  <si>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</si>
  <si>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</si>
  <si>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</si>
  <si>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</si>
  <si>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</si>
  <si>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</si>
  <si>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</si>
  <si>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</si>
  <si>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</si>
  <si>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</si>
  <si>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</si>
  <si>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</si>
  <si>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</si>
  <si>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</si>
  <si>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</si>
  <si>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</si>
  <si>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</si>
  <si>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</si>
  <si>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</si>
  <si>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</si>
  <si>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</si>
  <si>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</si>
  <si>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</si>
  <si>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</si>
  <si>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</si>
  <si>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</si>
  <si>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</si>
  <si>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</si>
  <si>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</si>
  <si>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</si>
  <si>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</si>
  <si>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</si>
  <si>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</si>
  <si>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</si>
  <si>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</si>
  <si>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</si>
  <si>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</si>
  <si>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</si>
  <si>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</si>
  <si>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</si>
  <si>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</si>
  <si>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</si>
  <si>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</si>
  <si>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</si>
  <si>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</si>
  <si>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</si>
  <si>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</si>
  <si>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</si>
  <si>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</si>
  <si>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</si>
  <si>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</si>
  <si>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</si>
  <si>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</si>
  <si>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</si>
  <si>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</si>
  <si>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</si>
  <si>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</si>
  <si>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</si>
  <si>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</si>
  <si>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</si>
  <si>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</si>
  <si>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</si>
  <si>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</si>
  <si>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</si>
  <si>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</si>
  <si>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</si>
  <si>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</si>
  <si>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</si>
  <si>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</si>
  <si>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</si>
  <si>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</si>
  <si>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</si>
  <si>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</si>
  <si>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</si>
  <si>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</si>
  <si>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</si>
  <si>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</si>
  <si>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</si>
  <si>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</si>
  <si>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</si>
  <si>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</si>
  <si>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</si>
  <si>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</si>
  <si>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</si>
  <si>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</si>
  <si>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</si>
  <si>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</si>
  <si>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</si>
  <si>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</si>
  <si>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</si>
  <si>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</si>
  <si>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</si>
  <si>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</si>
  <si>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</si>
  <si>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</si>
  <si>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</si>
  <si>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</si>
  <si>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</si>
  <si>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</si>
  <si>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</si>
  <si>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</si>
  <si>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</si>
  <si>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</si>
  <si>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</si>
  <si>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</si>
  <si>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</si>
  <si>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</si>
  <si>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</si>
  <si>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</si>
  <si>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</si>
  <si>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</si>
  <si>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</si>
  <si>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</si>
  <si>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</si>
  <si>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</si>
  <si>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</si>
  <si>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</si>
  <si>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</si>
  <si>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</si>
  <si>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</si>
  <si>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</si>
  <si>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</si>
  <si>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</si>
  <si>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</si>
  <si>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</si>
  <si>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</si>
  <si>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</si>
  <si>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</si>
  <si>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</si>
  <si>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</si>
  <si>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</si>
  <si>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</si>
  <si>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</si>
  <si>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</si>
  <si>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</si>
  <si>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</si>
  <si>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</si>
  <si>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</si>
  <si>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</si>
  <si>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</si>
  <si>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</si>
  <si>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</si>
  <si>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</si>
  <si>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</si>
  <si>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</si>
  <si>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</si>
  <si>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</si>
  <si>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</si>
  <si>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</si>
  <si>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</si>
  <si>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</si>
  <si>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</si>
  <si>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</si>
  <si>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</si>
  <si>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</si>
  <si>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</si>
  <si>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</si>
  <si>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</si>
  <si>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</si>
  <si>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</si>
  <si>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</si>
  <si>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</si>
  <si>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</si>
  <si>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</si>
  <si>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</si>
  <si>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</si>
  <si>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</si>
  <si>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</si>
  <si>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</si>
  <si>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</si>
  <si>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</si>
  <si>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</si>
  <si>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</si>
  <si>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</si>
  <si>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</si>
  <si>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</si>
  <si>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</si>
  <si>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</si>
  <si>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</si>
  <si>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</si>
  <si>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</si>
  <si>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</si>
  <si>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</si>
  <si>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</si>
  <si>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</si>
  <si>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</si>
  <si>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</si>
  <si>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</si>
  <si>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</si>
  <si>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</si>
  <si>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</si>
  <si>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</si>
  <si>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</si>
  <si>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</si>
  <si>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</si>
  <si>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</si>
  <si>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</si>
  <si>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</si>
  <si>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</si>
  <si>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</si>
  <si>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</si>
  <si>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</si>
  <si>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</si>
  <si>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</si>
  <si>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</si>
  <si>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</si>
  <si>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</si>
  <si>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</si>
  <si>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</si>
  <si>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</si>
  <si>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</si>
  <si>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</si>
  <si>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</si>
  <si>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</si>
  <si>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</si>
  <si>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</si>
  <si>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</si>
  <si>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</si>
  <si>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</si>
  <si>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</si>
  <si>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</si>
  <si>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</si>
  <si>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</si>
  <si>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</si>
  <si>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</si>
  <si>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</si>
  <si>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</si>
  <si>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</si>
  <si>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</si>
  <si>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</si>
  <si>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</si>
  <si>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</si>
  <si>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</si>
  <si>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</si>
  <si>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</si>
  <si>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</si>
  <si>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</si>
  <si>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</si>
  <si>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</si>
  <si>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</si>
  <si>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</si>
  <si>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</si>
  <si>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</si>
  <si>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</si>
  <si>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</si>
  <si>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</si>
  <si>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</si>
  <si>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</si>
  <si>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</si>
  <si>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</si>
  <si>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</si>
  <si>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</si>
  <si>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</si>
  <si>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</si>
  <si>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</si>
  <si>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</si>
  <si>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</si>
  <si>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</si>
  <si>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</si>
  <si>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</si>
  <si>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</si>
  <si>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</si>
  <si>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</si>
  <si>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</si>
  <si>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</si>
  <si>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</si>
  <si>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</si>
  <si>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</si>
  <si>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</si>
  <si>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</si>
  <si>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</si>
  <si>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</si>
  <si>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</si>
  <si>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</si>
  <si>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</si>
  <si>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</si>
  <si>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</si>
  <si>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</si>
  <si>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</si>
  <si>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</si>
  <si>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</si>
  <si>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</si>
  <si>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</si>
  <si>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</si>
  <si>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</si>
  <si>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</si>
  <si>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</si>
  <si>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</si>
  <si>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</si>
  <si>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</si>
  <si>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</si>
  <si>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</si>
  <si>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</si>
  <si>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</si>
  <si>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</si>
  <si>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</si>
  <si>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</si>
  <si>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</si>
  <si>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</si>
  <si>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</si>
  <si>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</si>
  <si>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</si>
  <si>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</si>
  <si>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</si>
  <si>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</si>
  <si>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</si>
  <si>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</si>
  <si>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</si>
  <si>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</si>
  <si>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XBOX GAME PASS SUBSCRIPTIONS SALES</t>
  </si>
  <si>
    <t>Soma de EA Play Season Pass</t>
  </si>
  <si>
    <t>Pergunta n°1</t>
  </si>
  <si>
    <t>Pergunta n°2</t>
  </si>
  <si>
    <t>Pergunta n°3</t>
  </si>
  <si>
    <r>
      <t xml:space="preserve">Qual o faturamento </t>
    </r>
    <r>
      <rPr>
        <b/>
        <u/>
        <sz val="11"/>
        <color theme="1"/>
        <rFont val="Aptos Narrow"/>
        <family val="2"/>
        <scheme val="minor"/>
      </rPr>
      <t>total de venda de 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</si>
  <si>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>Qual o faturamento</t>
    </r>
    <r>
      <rPr>
        <u/>
        <sz val="11"/>
        <color theme="1"/>
        <rFont val="Aptos Narrow"/>
        <family val="2"/>
        <scheme val="minor"/>
      </rPr>
      <t xml:space="preserve"> </t>
    </r>
    <r>
      <rPr>
        <b/>
        <u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separado por </t>
    </r>
    <r>
      <rPr>
        <b/>
        <u/>
        <sz val="11"/>
        <color theme="1"/>
        <rFont val="Aptos Narrow"/>
        <family val="2"/>
        <scheme val="minor"/>
      </rPr>
      <t>auto renovaçã</t>
    </r>
    <r>
      <rPr>
        <sz val="11"/>
        <color theme="1"/>
        <rFont val="Aptos Narrow"/>
        <family val="2"/>
        <scheme val="minor"/>
      </rPr>
      <t xml:space="preserve">o ou que </t>
    </r>
    <r>
      <rPr>
        <b/>
        <u/>
        <sz val="11"/>
        <color theme="1"/>
        <rFont val="Aptos Narrow"/>
        <family val="2"/>
        <scheme val="minor"/>
      </rPr>
      <t>não é por auto renovação</t>
    </r>
    <r>
      <rPr>
        <sz val="11"/>
        <color theme="1"/>
        <rFont val="Aptos Narrow"/>
        <family val="2"/>
        <scheme val="minor"/>
      </rPr>
      <t>?</t>
    </r>
  </si>
  <si>
    <t>Pergunta n°4</t>
  </si>
  <si>
    <r>
      <t>Qual o</t>
    </r>
    <r>
      <rPr>
        <b/>
        <u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u/>
        <sz val="11"/>
        <color theme="1"/>
        <rFont val="Aptos Narrow"/>
        <family val="2"/>
        <scheme val="minor"/>
      </rPr>
      <t>Minecraft Season Pass</t>
    </r>
    <r>
      <rPr>
        <sz val="11"/>
        <color theme="1"/>
        <rFont val="Aptos Narrow"/>
        <family val="2"/>
        <scheme val="minor"/>
      </rPr>
      <t>?</t>
    </r>
  </si>
  <si>
    <r>
      <t xml:space="preserve">Qual o </t>
    </r>
    <r>
      <rPr>
        <b/>
        <u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u/>
        <sz val="11"/>
        <color theme="1"/>
        <rFont val="Aptos Narrow"/>
        <family val="2"/>
        <scheme val="minor"/>
      </rPr>
      <t>EA Play Season Pass</t>
    </r>
    <r>
      <rPr>
        <sz val="11"/>
        <color theme="1"/>
        <rFont val="Aptos Narrow"/>
        <family val="2"/>
        <scheme val="minor"/>
      </rPr>
      <t>?</t>
    </r>
  </si>
  <si>
    <t>Soma de Minecraft Season Pass Price</t>
  </si>
  <si>
    <t>Calculation period - 01/01/25 - 31/01/2025 | Update 25/01/25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</si>
</sst>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Arial Black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4" fillId="8" borderId="2" xfId="1" applyFont="1" applyFill="1" applyBorder="1" applyAlignment="1">
      <alignment horizontal="left" wrapText="1" indent="8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4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0" xr9:uid="{364C4738-6704-44ED-BCF5-D1C6E1C7D4E3}"/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 xbox_GlauceFerreira.xlsx]C̳álculos!Tbl_annual_total</c:name>
    <c:fmtId val="19"/>
  </c:pivotSource>
  <c:chart>
    <c:autoTitleDeleted val="1"/>
    <c:pivotFmts>
      <c:pivotFmt>
        <c:idx val="0"/>
        <c:spPr>
          <a:noFill/>
          <a:ln w="25400" cap="flat" cmpd="sng" algn="ctr">
            <a:solidFill>
              <a:schemeClr val="accent4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4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 w="25400" cap="flat" cmpd="sng" algn="ctr">
            <a:solidFill>
              <a:srgbClr val="2AE6B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 w="25400" cap="flat" cmpd="sng" algn="ctr">
            <a:solidFill>
              <a:srgbClr val="2AE6B1"/>
            </a:solidFill>
            <a:miter lim="800000"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839754883903651E-2"/>
          <c:y val="7.2652232951038009E-2"/>
          <c:w val="0.91060700009686246"/>
          <c:h val="0.927347767048961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 w="25400" cap="flat" cmpd="sng" algn="ctr">
              <a:solidFill>
                <a:srgbClr val="2AE6B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7-4845-B083-CA6EF519C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404673864"/>
        <c:axId val="404674584"/>
      </c:barChart>
      <c:catAx>
        <c:axId val="404673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4674584"/>
        <c:crosses val="autoZero"/>
        <c:auto val="1"/>
        <c:lblAlgn val="ctr"/>
        <c:lblOffset val="100"/>
        <c:noMultiLvlLbl val="0"/>
      </c:catAx>
      <c:valAx>
        <c:axId val="4046745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467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bg1"/>
      </a:solidFill>
      <a:prstDash val="solid"/>
      <a:miter lim="800000"/>
    </a:ln>
    <a:effectLst/>
    <a:scene3d>
      <a:camera prst="orthographicFront"/>
      <a:lightRig rig="balanced" dir="t">
        <a:rot lat="0" lon="0" rev="8700000"/>
      </a:lightRig>
    </a:scene3d>
    <a:sp3d>
      <a:bevelT w="190500" h="38100"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195603</xdr:colOff>
      <xdr:row>8</xdr:row>
      <xdr:rowOff>120762</xdr:rowOff>
    </xdr:from>
    <xdr:to>
      <xdr:col>0</xdr:col>
      <xdr:colOff>2000250</xdr:colOff>
      <xdr:row>15</xdr:row>
      <xdr:rowOff>40821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507B89DE-530D-4A21-9EBB-9D9DE647CA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603" y="1631155"/>
              <a:ext cx="1804647" cy="1253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169750</xdr:colOff>
      <xdr:row>0</xdr:row>
      <xdr:rowOff>95252</xdr:rowOff>
    </xdr:from>
    <xdr:to>
      <xdr:col>2</xdr:col>
      <xdr:colOff>605517</xdr:colOff>
      <xdr:row>1</xdr:row>
      <xdr:rowOff>292100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D23193-2AF1-42DF-AABE-00357F2AD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5823"/>
        <a:stretch>
          <a:fillRect/>
        </a:stretch>
      </xdr:blipFill>
      <xdr:spPr>
        <a:xfrm>
          <a:off x="2564607" y="95252"/>
          <a:ext cx="435767" cy="387348"/>
        </a:xfrm>
        <a:prstGeom prst="rect">
          <a:avLst/>
        </a:prstGeom>
      </xdr:spPr>
    </xdr:pic>
    <xdr:clientData/>
  </xdr:twoCellAnchor>
  <xdr:twoCellAnchor>
    <xdr:from>
      <xdr:col>2</xdr:col>
      <xdr:colOff>83343</xdr:colOff>
      <xdr:row>15</xdr:row>
      <xdr:rowOff>95250</xdr:rowOff>
    </xdr:from>
    <xdr:to>
      <xdr:col>17</xdr:col>
      <xdr:colOff>416718</xdr:colOff>
      <xdr:row>35</xdr:row>
      <xdr:rowOff>130968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D7C677-81EC-4E27-917C-458B5A077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23813</xdr:colOff>
      <xdr:row>5</xdr:row>
      <xdr:rowOff>35719</xdr:rowOff>
    </xdr:from>
    <xdr:to>
      <xdr:col>7</xdr:col>
      <xdr:colOff>571499</xdr:colOff>
      <xdr:row>14</xdr:row>
      <xdr:rowOff>83343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8865A177-2A64-DDAA-8ED3-9128B1F819CE}"/>
            </a:ext>
          </a:extLst>
        </xdr:cNvPr>
        <xdr:cNvGrpSpPr/>
      </xdr:nvGrpSpPr>
      <xdr:grpSpPr>
        <a:xfrm>
          <a:off x="2418670" y="1097076"/>
          <a:ext cx="5432650" cy="1639660"/>
          <a:chOff x="2416969" y="904875"/>
          <a:chExt cx="5417343" cy="1631156"/>
        </a:xfrm>
      </xdr:grpSpPr>
      <xdr:sp macro="" textlink="C̳álculos!D20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031C19A-0F02-5432-CBE1-C87ACDC9D7F3}"/>
              </a:ext>
            </a:extLst>
          </xdr:cNvPr>
          <xdr:cNvSpPr/>
        </xdr:nvSpPr>
        <xdr:spPr>
          <a:xfrm>
            <a:off x="2440780" y="904875"/>
            <a:ext cx="5369721" cy="1631156"/>
          </a:xfrm>
          <a:prstGeom prst="roundRect">
            <a:avLst/>
          </a:prstGeom>
          <a:solidFill>
            <a:schemeClr val="bg1"/>
          </a:solidFill>
          <a:ln>
            <a:solidFill>
              <a:srgbClr val="E8E6E9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D7C429C-356F-4BEB-9B3C-D4B04F974163}" type="TxLink">
              <a:rPr lang="en-US" sz="4400" b="0" i="0" u="none" strike="noStrike">
                <a:solidFill>
                  <a:srgbClr val="2AE6B1"/>
                </a:solidFill>
                <a:latin typeface="Aptos Narrow"/>
              </a:rPr>
              <a:pPr algn="ctr"/>
              <a:t>R$ 990,00</a:t>
            </a:fld>
            <a:endParaRPr lang="pt-BR" sz="4400">
              <a:solidFill>
                <a:srgbClr val="2AE6B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41F47662-AAA8-4477-82F7-65DB34ECF0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5563" y="1488281"/>
            <a:ext cx="1035844" cy="1035844"/>
          </a:xfrm>
          <a:prstGeom prst="rect">
            <a:avLst/>
          </a:prstGeom>
        </xdr:spPr>
      </xdr:pic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9D66301-0298-C498-D688-829A4BF0F991}"/>
              </a:ext>
            </a:extLst>
          </xdr:cNvPr>
          <xdr:cNvSpPr/>
        </xdr:nvSpPr>
        <xdr:spPr>
          <a:xfrm>
            <a:off x="2416969" y="940594"/>
            <a:ext cx="5417343" cy="595312"/>
          </a:xfrm>
          <a:prstGeom prst="roundRect">
            <a:avLst/>
          </a:prstGeom>
          <a:solidFill>
            <a:srgbClr val="22C55E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TOTAL</a:t>
            </a:r>
            <a:r>
              <a:rPr lang="pt-BR" sz="1600" baseline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SUBSCRIPTION EA PLAY SEASON PASS</a:t>
            </a:r>
            <a:endParaRPr lang="pt-BR" sz="16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8</xdr:col>
      <xdr:colOff>333376</xdr:colOff>
      <xdr:row>5</xdr:row>
      <xdr:rowOff>23813</xdr:rowOff>
    </xdr:from>
    <xdr:to>
      <xdr:col>17</xdr:col>
      <xdr:colOff>404815</xdr:colOff>
      <xdr:row>14</xdr:row>
      <xdr:rowOff>71437</xdr:rowOff>
    </xdr:to>
    <xdr:sp macro="" textlink="C̳álculos!D30">
      <xdr:nvSpPr>
        <xdr:cNvPr id="10" name="Retângulo: Cantos Arredondados 9">
          <a:extLst>
            <a:ext uri="{FF2B5EF4-FFF2-40B4-BE49-F238E27FC236}">
              <a16:creationId xmlns:a16="http://schemas.microsoft.com/office/drawing/2014/main" id="{1AC8F264-B151-4D94-99F3-C04FD972C1DA}"/>
            </a:ext>
          </a:extLst>
        </xdr:cNvPr>
        <xdr:cNvSpPr/>
      </xdr:nvSpPr>
      <xdr:spPr>
        <a:xfrm>
          <a:off x="8203407" y="892969"/>
          <a:ext cx="5369721" cy="1631156"/>
        </a:xfrm>
        <a:prstGeom prst="roundRect">
          <a:avLst/>
        </a:prstGeom>
        <a:solidFill>
          <a:schemeClr val="bg1"/>
        </a:solidFill>
        <a:ln>
          <a:solidFill>
            <a:srgbClr val="E8E6E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FBD976F-A5E6-41A1-876F-A51176D6D7E6}" type="TxLink">
            <a:rPr lang="en-US" sz="4400" b="0" i="0" u="none" strike="noStrike">
              <a:solidFill>
                <a:srgbClr val="2AE6B1"/>
              </a:solidFill>
              <a:latin typeface="+mn-lt"/>
              <a:ea typeface="Segoe UI Black" panose="020B0A02040204020203" pitchFamily="34" charset="0"/>
            </a:rPr>
            <a:pPr algn="ctr"/>
            <a:t>R$ 1.140,00</a:t>
          </a:fld>
          <a:endParaRPr lang="pt-BR" sz="4400" b="0">
            <a:solidFill>
              <a:srgbClr val="2AE6B1"/>
            </a:solidFill>
            <a:latin typeface="+mn-lt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8</xdr:col>
      <xdr:colOff>309563</xdr:colOff>
      <xdr:row>5</xdr:row>
      <xdr:rowOff>23813</xdr:rowOff>
    </xdr:from>
    <xdr:to>
      <xdr:col>17</xdr:col>
      <xdr:colOff>416718</xdr:colOff>
      <xdr:row>13</xdr:row>
      <xdr:rowOff>47626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F57AE50B-2659-DA52-F34D-1AB3A4B6998D}"/>
            </a:ext>
          </a:extLst>
        </xdr:cNvPr>
        <xdr:cNvGrpSpPr/>
      </xdr:nvGrpSpPr>
      <xdr:grpSpPr>
        <a:xfrm>
          <a:off x="8201706" y="1085170"/>
          <a:ext cx="5441155" cy="1425349"/>
          <a:chOff x="8203406" y="881062"/>
          <a:chExt cx="5405437" cy="141684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D5E6957-FAA4-4095-B288-BDB386F3BF8F}"/>
              </a:ext>
            </a:extLst>
          </xdr:cNvPr>
          <xdr:cNvSpPr/>
        </xdr:nvSpPr>
        <xdr:spPr>
          <a:xfrm>
            <a:off x="8203406" y="881062"/>
            <a:ext cx="5405437" cy="642938"/>
          </a:xfrm>
          <a:prstGeom prst="roundRect">
            <a:avLst/>
          </a:prstGeom>
          <a:solidFill>
            <a:srgbClr val="22C55E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TOTAL</a:t>
            </a:r>
            <a:r>
              <a:rPr lang="pt-BR" sz="1500" baseline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SUBSCRIPTION MINECRAFT SEASON PASS</a:t>
            </a:r>
            <a:endParaRPr lang="pt-BR" sz="15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89E1E15-AFC1-4B20-94F0-59A2733F7D9C}"/>
              </a:ext>
            </a:extLst>
          </xdr:cNvPr>
          <xdr:cNvGrpSpPr/>
        </xdr:nvGrpSpPr>
        <xdr:grpSpPr>
          <a:xfrm>
            <a:off x="8584407" y="1547813"/>
            <a:ext cx="845344" cy="750094"/>
            <a:chOff x="3495675" y="5400674"/>
            <a:chExt cx="1549476" cy="752476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DAB5359A-2495-3321-7EEC-98EBEC679C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4" name="Gráfico 13">
              <a:extLst>
                <a:ext uri="{FF2B5EF4-FFF2-40B4-BE49-F238E27FC236}">
                  <a16:creationId xmlns:a16="http://schemas.microsoft.com/office/drawing/2014/main" id="{A94A8C73-52FE-A4F2-DB8E-954C144B5D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71438</xdr:colOff>
      <xdr:row>15</xdr:row>
      <xdr:rowOff>59530</xdr:rowOff>
    </xdr:from>
    <xdr:to>
      <xdr:col>17</xdr:col>
      <xdr:colOff>464343</xdr:colOff>
      <xdr:row>18</xdr:row>
      <xdr:rowOff>142873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FEA3C961-A315-4552-B573-AF120FCFDD97}"/>
            </a:ext>
          </a:extLst>
        </xdr:cNvPr>
        <xdr:cNvSpPr/>
      </xdr:nvSpPr>
      <xdr:spPr>
        <a:xfrm>
          <a:off x="2464594" y="2702718"/>
          <a:ext cx="11168062" cy="654843"/>
        </a:xfrm>
        <a:prstGeom prst="roundRect">
          <a:avLst/>
        </a:prstGeom>
        <a:solidFill>
          <a:srgbClr val="22C55E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TOTAL</a:t>
          </a:r>
          <a:r>
            <a:rPr lang="pt-BR" sz="1600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SUBSCRIPTION XBOX GAME PASS</a:t>
          </a:r>
          <a:endParaRPr lang="pt-BR" sz="160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0</xdr:col>
      <xdr:colOff>149679</xdr:colOff>
      <xdr:row>0</xdr:row>
      <xdr:rowOff>47625</xdr:rowOff>
    </xdr:from>
    <xdr:to>
      <xdr:col>0</xdr:col>
      <xdr:colOff>938893</xdr:colOff>
      <xdr:row>3</xdr:row>
      <xdr:rowOff>163286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07C42938-2EFD-45E0-87EA-294A72C960A7}"/>
            </a:ext>
          </a:extLst>
        </xdr:cNvPr>
        <xdr:cNvSpPr/>
      </xdr:nvSpPr>
      <xdr:spPr>
        <a:xfrm>
          <a:off x="149679" y="47625"/>
          <a:ext cx="789214" cy="79601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1059654</xdr:colOff>
      <xdr:row>0</xdr:row>
      <xdr:rowOff>178593</xdr:rowOff>
    </xdr:from>
    <xdr:to>
      <xdr:col>0</xdr:col>
      <xdr:colOff>2122713</xdr:colOff>
      <xdr:row>7</xdr:row>
      <xdr:rowOff>164305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13308A27-36A0-5799-411D-3DD1039499D1}"/>
            </a:ext>
          </a:extLst>
        </xdr:cNvPr>
        <xdr:cNvSpPr/>
      </xdr:nvSpPr>
      <xdr:spPr>
        <a:xfrm>
          <a:off x="1059654" y="178593"/>
          <a:ext cx="1063059" cy="1319212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Segoe UI Black" panose="020B0A02040204020203" pitchFamily="34" charset="0"/>
              <a:ea typeface="Segoe UI Black" panose="020B0A02040204020203" pitchFamily="34" charset="0"/>
            </a:rPr>
            <a:t>Bem vinda, Gestor(a)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26.458255092592" createdVersion="8" refreshedVersion="8" minRefreshableVersion="3" recordCount="295" xr:uid="{A59FE9F7-3328-46E9-ACF8-0C70DF2C581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243394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0B2DC-AC27-4C5D-AE02-3F0E51629645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9">
  <location ref="B26:C30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2">
    <format dxfId="28">
      <pivotArea outline="0" fieldPosition="0">
        <references count="1">
          <reference field="2" count="1" selected="0">
            <x v="2"/>
          </reference>
        </references>
      </pivotArea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CD64F-B3D4-436A-9C1B-5399ABF6AD06}" name="Tbl_eaplayseason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9">
  <location ref="B17:C21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9">
      <pivotArea outline="0" fieldPosition="0">
        <references count="1"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05BF9-2286-416B-9F49-24A68D066E36}" name="Tbl_annual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9">
  <location ref="B9:C12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7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E6D9428-EEA6-4F59-B577-937BF43760A7}" sourceName="Subscription Type">
  <pivotTables>
    <pivotTable tabId="3" name="Tbl_annual_total"/>
    <pivotTable tabId="3" name="Tbl_eaplayseasonpass_total"/>
    <pivotTable tabId="3" name="Tabela dinâmica2"/>
  </pivotTables>
  <data>
    <tabular pivotCacheId="172433941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BEBB0A28-4873-447F-946A-9D7D646A1C12}" cache="SegmentaçãodeDados_Subscription_Type" caption="Subscription Type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2"/>
    <tableColumn id="2" xr3:uid="{53DD39D0-2220-4121-9E9D-4EAA7E151C0F}" name="Name" dataDxfId="41"/>
    <tableColumn id="3" xr3:uid="{4F5FF271-4C57-4BE0-8F2C-F82C8551625C}" name="Plan" dataDxfId="40"/>
    <tableColumn id="4" xr3:uid="{8C17EB93-79B9-4E55-B8F7-BEB82F8253E9}" name="Start Date" dataDxfId="39"/>
    <tableColumn id="5" xr3:uid="{48CEDF9B-1689-482A-A828-5CCE7713264A}" name="Auto Renewal" dataDxfId="38"/>
    <tableColumn id="6" xr3:uid="{78B82374-9AA7-4E38-AE4F-78CDE6C83720}" name="Subscription Price" dataDxfId="37" dataCellStyle="Moeda"/>
    <tableColumn id="7" xr3:uid="{F2433F68-AF33-49D0-B1FB-19A396074EDE}" name="Subscription Type" dataDxfId="36"/>
    <tableColumn id="8" xr3:uid="{FD4D9C95-F6E5-4933-9068-A71FF7DF9343}" name="EA Play Season Pass" dataDxfId="35"/>
    <tableColumn id="13" xr3:uid="{978DD0D2-834E-4CE4-A39B-30976086932F}" name="EA Play Season Pass_x000a_Price" dataDxfId="34" dataCellStyle="Moeda"/>
    <tableColumn id="9" xr3:uid="{6E29F111-C395-4580-9DAD-3407D9E8B1A4}" name="Minecraft Season Pass" dataDxfId="33"/>
    <tableColumn id="10" xr3:uid="{EF544EAA-7F25-4FD5-A10E-8E62804DB9E3}" name="Minecraft Season Pass Price" dataDxfId="32" dataCellStyle="Moeda"/>
    <tableColumn id="11" xr3:uid="{7F6EB64A-1F07-4E48-9F0F-AC7D9DCD26F8}" name="Coupon Value" dataDxfId="31" dataCellStyle="Moeda"/>
    <tableColumn id="12" xr3:uid="{2B04ABC8-DE6F-426E-ADC0-D8AFC68CA58E}" name="Total Value" dataDxfId="3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H2" sqref="H2:H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0"/>
  <sheetViews>
    <sheetView showGridLines="0" workbookViewId="0">
      <selection activeCell="D30" sqref="D30"/>
    </sheetView>
  </sheetViews>
  <sheetFormatPr defaultRowHeight="15" x14ac:dyDescent="0.25"/>
  <cols>
    <col min="2" max="2" width="16.7109375" bestFit="1" customWidth="1"/>
    <col min="3" max="3" width="35.140625" bestFit="1" customWidth="1"/>
    <col min="4" max="4" width="18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317</v>
      </c>
      <c r="C2" t="s">
        <v>320</v>
      </c>
    </row>
    <row r="3" spans="2:3" x14ac:dyDescent="0.25">
      <c r="B3" t="s">
        <v>318</v>
      </c>
      <c r="C3" t="s">
        <v>321</v>
      </c>
    </row>
    <row r="4" spans="2:3" x14ac:dyDescent="0.25">
      <c r="B4" t="s">
        <v>319</v>
      </c>
      <c r="C4" t="s">
        <v>324</v>
      </c>
    </row>
    <row r="5" spans="2:3" x14ac:dyDescent="0.25">
      <c r="B5" t="s">
        <v>322</v>
      </c>
      <c r="C5" t="s">
        <v>323</v>
      </c>
    </row>
    <row r="9" spans="2:3" x14ac:dyDescent="0.25">
      <c r="B9" s="12" t="s">
        <v>15</v>
      </c>
      <c r="C9" t="s">
        <v>313</v>
      </c>
    </row>
    <row r="10" spans="2:3" x14ac:dyDescent="0.25">
      <c r="B10" t="s">
        <v>30</v>
      </c>
      <c r="C10" s="13">
        <v>806</v>
      </c>
    </row>
    <row r="11" spans="2:3" x14ac:dyDescent="0.25">
      <c r="B11" t="s">
        <v>26</v>
      </c>
      <c r="C11" s="13">
        <v>1502</v>
      </c>
    </row>
    <row r="12" spans="2:3" x14ac:dyDescent="0.25">
      <c r="B12" t="s">
        <v>314</v>
      </c>
      <c r="C12" s="13">
        <v>2308</v>
      </c>
    </row>
    <row r="15" spans="2:3" x14ac:dyDescent="0.25">
      <c r="B15" s="12" t="s">
        <v>17</v>
      </c>
      <c r="C15" t="s">
        <v>35</v>
      </c>
    </row>
    <row r="17" spans="2:4" x14ac:dyDescent="0.25">
      <c r="B17" s="12" t="s">
        <v>13</v>
      </c>
      <c r="C17" t="s">
        <v>316</v>
      </c>
    </row>
    <row r="18" spans="2:4" x14ac:dyDescent="0.25">
      <c r="B18" t="s">
        <v>29</v>
      </c>
      <c r="C18" s="14">
        <v>0</v>
      </c>
    </row>
    <row r="19" spans="2:4" x14ac:dyDescent="0.25">
      <c r="B19" t="s">
        <v>34</v>
      </c>
      <c r="C19" s="14">
        <v>0</v>
      </c>
    </row>
    <row r="20" spans="2:4" x14ac:dyDescent="0.25">
      <c r="B20" t="s">
        <v>25</v>
      </c>
      <c r="C20" s="15">
        <v>990</v>
      </c>
      <c r="D20" s="15">
        <f>GETPIVOTDATA("EA Play Season Pass
Price",$B$17,"Plan","Ultimate")</f>
        <v>990</v>
      </c>
    </row>
    <row r="21" spans="2:4" x14ac:dyDescent="0.25">
      <c r="B21" t="s">
        <v>314</v>
      </c>
      <c r="C21" s="14">
        <v>990</v>
      </c>
    </row>
    <row r="24" spans="2:4" x14ac:dyDescent="0.25">
      <c r="B24" s="12" t="s">
        <v>17</v>
      </c>
      <c r="C24" t="s">
        <v>35</v>
      </c>
    </row>
    <row r="26" spans="2:4" x14ac:dyDescent="0.25">
      <c r="B26" s="12" t="s">
        <v>13</v>
      </c>
      <c r="C26" t="s">
        <v>325</v>
      </c>
    </row>
    <row r="27" spans="2:4" x14ac:dyDescent="0.25">
      <c r="B27" t="s">
        <v>29</v>
      </c>
      <c r="C27" s="13">
        <v>0</v>
      </c>
    </row>
    <row r="28" spans="2:4" x14ac:dyDescent="0.25">
      <c r="B28" t="s">
        <v>34</v>
      </c>
      <c r="C28" s="13">
        <v>480</v>
      </c>
    </row>
    <row r="29" spans="2:4" x14ac:dyDescent="0.25">
      <c r="B29" t="s">
        <v>25</v>
      </c>
      <c r="C29" s="15">
        <v>660</v>
      </c>
    </row>
    <row r="30" spans="2:4" x14ac:dyDescent="0.25">
      <c r="B30" t="s">
        <v>314</v>
      </c>
      <c r="C30" s="15">
        <v>1140</v>
      </c>
      <c r="D30" s="15">
        <f>GETPIVOTDATA("Minecraft Season Pass Price",$B$26)</f>
        <v>1140</v>
      </c>
    </row>
  </sheetData>
  <phoneticPr fontId="7" type="noConversion"/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101"/>
  <sheetViews>
    <sheetView showGridLines="0" showRowColHeaders="0" tabSelected="1" zoomScale="70" zoomScaleNormal="70" workbookViewId="0">
      <selection activeCell="S23" sqref="S23"/>
    </sheetView>
  </sheetViews>
  <sheetFormatPr defaultRowHeight="15" x14ac:dyDescent="0.25"/>
  <cols>
    <col min="1" max="1" width="32.28515625" style="4" customWidth="1"/>
    <col min="2" max="2" width="3.5703125" customWidth="1"/>
    <col min="3" max="3" width="36.5703125" bestFit="1" customWidth="1"/>
    <col min="12" max="12" width="6.5703125" customWidth="1"/>
  </cols>
  <sheetData>
    <row r="2" spans="1:17" ht="23.25" customHeight="1" x14ac:dyDescent="0.45">
      <c r="C2" s="16" t="s">
        <v>315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7" s="7" customFormat="1" x14ac:dyDescent="0.25">
      <c r="A4" s="4"/>
    </row>
    <row r="5" spans="1:17" s="7" customFormat="1" x14ac:dyDescent="0.25">
      <c r="A5" s="4"/>
      <c r="C5" s="17" t="s">
        <v>326</v>
      </c>
    </row>
    <row r="6" spans="1:17" s="7" customFormat="1" ht="10.5" customHeight="1" x14ac:dyDescent="0.25">
      <c r="A6" s="4"/>
    </row>
    <row r="7" spans="1:17" s="7" customFormat="1" ht="9.75" customHeight="1" x14ac:dyDescent="0.25">
      <c r="A7" s="4"/>
    </row>
    <row r="8" spans="1:17" s="7" customFormat="1" x14ac:dyDescent="0.25">
      <c r="A8" s="4"/>
    </row>
    <row r="9" spans="1:17" s="7" customFormat="1" x14ac:dyDescent="0.25">
      <c r="A9" s="4"/>
    </row>
    <row r="10" spans="1:17" s="7" customFormat="1" x14ac:dyDescent="0.25">
      <c r="A10" s="4"/>
    </row>
    <row r="11" spans="1:17" s="7" customFormat="1" x14ac:dyDescent="0.25">
      <c r="A11" s="4"/>
    </row>
    <row r="12" spans="1:17" s="7" customFormat="1" x14ac:dyDescent="0.25">
      <c r="A12" s="4"/>
    </row>
    <row r="13" spans="1:17" s="7" customFormat="1" x14ac:dyDescent="0.25">
      <c r="A13" s="4"/>
    </row>
    <row r="14" spans="1:17" s="7" customFormat="1" x14ac:dyDescent="0.25">
      <c r="A14" s="4"/>
    </row>
    <row r="15" spans="1:17" s="7" customFormat="1" x14ac:dyDescent="0.25">
      <c r="A15" s="4"/>
    </row>
    <row r="16" spans="1:1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</sheetData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Glauce .LF</cp:lastModifiedBy>
  <cp:revision/>
  <dcterms:created xsi:type="dcterms:W3CDTF">2024-12-19T13:13:10Z</dcterms:created>
  <dcterms:modified xsi:type="dcterms:W3CDTF">2025-06-18T17:16:27Z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